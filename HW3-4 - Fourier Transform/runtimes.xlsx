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gardiner/Desktop/Homework/Engineering Experiments/HW3 - Fourier Transform/"/>
    </mc:Choice>
  </mc:AlternateContent>
  <xr:revisionPtr revIDLastSave="0" documentId="13_ncr:1_{B3FB8831-1882-1246-BED0-CB18F13A618E}" xr6:coauthVersionLast="47" xr6:coauthVersionMax="47" xr10:uidLastSave="{00000000-0000-0000-0000-000000000000}"/>
  <bookViews>
    <workbookView xWindow="1100" yWindow="820" windowWidth="28040" windowHeight="17440" xr2:uid="{3CECA36C-0F70-8C49-A9EE-4D30801CA2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D6" i="1"/>
  <c r="E6" i="1"/>
  <c r="B6" i="1"/>
  <c r="C5" i="1"/>
  <c r="D5" i="1"/>
  <c r="E5" i="1"/>
  <c r="B5" i="1"/>
  <c r="E3" i="1"/>
  <c r="D3" i="1"/>
  <c r="C3" i="1"/>
  <c r="B3" i="1"/>
  <c r="E2" i="1"/>
  <c r="D2" i="1"/>
  <c r="C2" i="1"/>
  <c r="B2" i="1"/>
</calcChain>
</file>

<file path=xl/sharedStrings.xml><?xml version="1.0" encoding="utf-8"?>
<sst xmlns="http://schemas.openxmlformats.org/spreadsheetml/2006/main" count="5" uniqueCount="5">
  <si>
    <t>FFT</t>
  </si>
  <si>
    <t>DFT</t>
  </si>
  <si>
    <t>Record Size:</t>
  </si>
  <si>
    <t>FFT:</t>
  </si>
  <si>
    <t>DFT: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</si>
</sst>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TimesNewRomanPS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Sheet1!$B$1:$E$1</c:f>
              <c:numCache>
                <c:formatCode>General</c:formatCode>
                <c:ptCount val="4"/>
                <c:pt idx="0">
                  <c:v>256</c:v>
                </c:pt>
                <c:pt idx="1">
                  <c:v>2048</c:v>
                </c:pt>
                <c:pt idx="2">
                  <c:v>16384</c:v>
                </c:pt>
                <c:pt idx="3">
                  <c:v>100000</c:v>
                </c:pt>
              </c:numCache>
            </c:numRef>
          </c:xVal>
          <c:yVal>
            <c:numRef>
              <c:f>Sheet1!$B$2:$E$2</c:f>
              <c:numCache>
                <c:formatCode>General</c:formatCode>
                <c:ptCount val="4"/>
                <c:pt idx="0">
                  <c:v>3.1363636363636368E-3</c:v>
                </c:pt>
                <c:pt idx="1">
                  <c:v>1.7272727272727275E-3</c:v>
                </c:pt>
                <c:pt idx="2">
                  <c:v>1.9636363636363636E-3</c:v>
                </c:pt>
                <c:pt idx="3">
                  <c:v>9.9454545454545473E-3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10-7442-A726-E24B831987A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Sheet1!$B$1:$E$1</c:f>
              <c:numCache>
                <c:formatCode>General</c:formatCode>
                <c:ptCount val="4"/>
                <c:pt idx="0">
                  <c:v>256</c:v>
                </c:pt>
                <c:pt idx="1">
                  <c:v>2048</c:v>
                </c:pt>
                <c:pt idx="2">
                  <c:v>16384</c:v>
                </c:pt>
                <c:pt idx="3">
                  <c:v>100000</c:v>
                </c:pt>
              </c:numCache>
            </c:numRef>
          </c:xVal>
          <c:yVal>
            <c:numRef>
              <c:f>Sheet1!$B$3:$E$3</c:f>
              <c:numCache>
                <c:formatCode>General</c:formatCode>
                <c:ptCount val="4"/>
                <c:pt idx="0">
                  <c:v>0.70829090909090908</c:v>
                </c:pt>
                <c:pt idx="1">
                  <c:v>3.461754545454546</c:v>
                </c:pt>
                <c:pt idx="2">
                  <c:v>25.796281818181818</c:v>
                </c:pt>
                <c:pt idx="3">
                  <c:v>181.67969090909094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10-7442-A726-E24B83198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386320"/>
        <c:axId val="1732074048"/>
      </c:scatterChart>
      <c:valAx>
        <c:axId val="62738632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074048"/>
        <c:crosses val="autoZero"/>
        <c:crossBetween val="midCat"/>
      </c:valAx>
      <c:valAx>
        <c:axId val="17320740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38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537483</xdr:colOff>
      <xdr:row>17</xdr:row>
      <xdr:rowOff>113847</xdr:rowOff>
    </xdr:from>
    <xdr:to>
      <xdr:col>8</xdr:col>
      <xdr:colOff>142876</xdr:colOff>
      <xdr:row>30</xdr:row>
      <xdr:rowOff>203654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AD1B3C-98BB-8C64-574E-D6054FA87E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F6FFF-78E9-604E-B063-40E5A4C0F0CA}">
  <dimension ref="A1:Q12"/>
  <sheetViews>
    <sheetView tabSelected="1" zoomScale="164" workbookViewId="0">
      <selection activeCell="F10" sqref="F10"/>
    </sheetView>
  </sheetViews>
  <sheetFormatPr baseColWidth="10" defaultRowHeight="16"/>
  <cols>
    <col min="2" max="2" width="12.5" bestFit="1" customWidth="1"/>
  </cols>
  <sheetData>
    <row r="1" spans="1:17">
      <c r="A1" t="s">
        <v>2</v>
      </c>
      <c r="B1">
        <v>256</v>
      </c>
      <c r="C1">
        <v>2048</v>
      </c>
      <c r="D1">
        <v>16384</v>
      </c>
      <c r="E1">
        <v>100000</v>
      </c>
      <c r="G1" t="s">
        <v>0</v>
      </c>
      <c r="H1">
        <v>256</v>
      </c>
      <c r="I1">
        <v>2048</v>
      </c>
      <c r="J1">
        <v>16384</v>
      </c>
      <c r="K1">
        <v>100000</v>
      </c>
      <c r="M1" t="s">
        <v>1</v>
      </c>
      <c r="N1">
        <v>256</v>
      </c>
      <c r="O1">
        <v>2048</v>
      </c>
      <c r="P1">
        <v>16384</v>
      </c>
      <c r="Q1">
        <v>100000</v>
      </c>
    </row>
    <row r="2" spans="1:17">
      <c r="A2" t="s">
        <v>3</v>
      </c>
      <c r="B2">
        <f>AVERAGE(H2:H12)</f>
        <v>3.1363636363636368E-3</v>
      </c>
      <c r="C2">
        <f>AVERAGE(I2:I12)</f>
        <v>1.7272727272727275E-3</v>
      </c>
      <c r="D2">
        <f>AVERAGE(J2:J12)</f>
        <v>1.9636363636363636E-3</v>
      </c>
      <c r="E2">
        <f>AVERAGE(K2:K12)</f>
        <v>9.9454545454545473E-3</v>
      </c>
      <c r="G2">
        <v>0</v>
      </c>
      <c r="H2">
        <v>3.0000000000000001E-3</v>
      </c>
      <c r="I2">
        <v>1.8E-3</v>
      </c>
      <c r="J2">
        <v>2.0999999999999999E-3</v>
      </c>
      <c r="K2">
        <v>1.18E-2</v>
      </c>
      <c r="M2">
        <v>0</v>
      </c>
      <c r="N2">
        <v>0.70520000000000005</v>
      </c>
      <c r="O2">
        <v>3.4489000000000001</v>
      </c>
      <c r="P2">
        <v>25.996500000000001</v>
      </c>
      <c r="Q2">
        <v>200.92250000000001</v>
      </c>
    </row>
    <row r="3" spans="1:17">
      <c r="A3" t="s">
        <v>4</v>
      </c>
      <c r="B3">
        <f>AVERAGE(N2:N12)</f>
        <v>0.70829090909090908</v>
      </c>
      <c r="C3">
        <f>AVERAGE(O2:O12)</f>
        <v>3.461754545454546</v>
      </c>
      <c r="D3">
        <f>AVERAGE(P2:P12)</f>
        <v>25.796281818181818</v>
      </c>
      <c r="E3">
        <f>AVERAGE(Q2:Q12)</f>
        <v>181.67969090909094</v>
      </c>
      <c r="G3">
        <v>1</v>
      </c>
      <c r="H3">
        <v>3.2000000000000002E-3</v>
      </c>
      <c r="I3">
        <v>1.8E-3</v>
      </c>
      <c r="J3">
        <v>1.9E-3</v>
      </c>
      <c r="K3">
        <v>6.4000000000000003E-3</v>
      </c>
      <c r="M3">
        <v>1</v>
      </c>
      <c r="N3">
        <v>0.70679999999999998</v>
      </c>
      <c r="O3">
        <v>3.4590999999999998</v>
      </c>
      <c r="P3">
        <v>25.6968</v>
      </c>
      <c r="Q3">
        <v>202.90090000000001</v>
      </c>
    </row>
    <row r="4" spans="1:17">
      <c r="G4">
        <v>2</v>
      </c>
      <c r="H4">
        <v>3.2000000000000002E-3</v>
      </c>
      <c r="I4">
        <v>1.9E-3</v>
      </c>
      <c r="J4">
        <v>2E-3</v>
      </c>
      <c r="K4">
        <v>8.2000000000000007E-3</v>
      </c>
      <c r="M4">
        <v>2</v>
      </c>
      <c r="N4">
        <v>0.70599999999999996</v>
      </c>
      <c r="O4">
        <v>3.4540000000000002</v>
      </c>
      <c r="P4">
        <v>25.572900000000001</v>
      </c>
      <c r="Q4">
        <v>196.0222</v>
      </c>
    </row>
    <row r="5" spans="1:17">
      <c r="B5">
        <f>B2/(B1*LOG(B1))</f>
        <v>5.0872922262790312E-6</v>
      </c>
      <c r="C5">
        <f t="shared" ref="C5:E5" si="0">C2/(C1*LOG(C1))</f>
        <v>2.5469974255415435E-7</v>
      </c>
      <c r="D5">
        <f t="shared" si="0"/>
        <v>2.8438279525783399E-8</v>
      </c>
      <c r="E5">
        <f t="shared" si="0"/>
        <v>1.9890909090909095E-8</v>
      </c>
      <c r="G5">
        <v>3</v>
      </c>
      <c r="H5">
        <v>3.2000000000000002E-3</v>
      </c>
      <c r="I5">
        <v>1.6999999999999999E-3</v>
      </c>
      <c r="J5">
        <v>1.6999999999999999E-3</v>
      </c>
      <c r="K5">
        <v>6.4000000000000003E-3</v>
      </c>
      <c r="M5">
        <v>3</v>
      </c>
      <c r="N5">
        <v>0.70920000000000005</v>
      </c>
      <c r="O5">
        <v>3.4698000000000002</v>
      </c>
      <c r="P5">
        <v>25.992799999999999</v>
      </c>
      <c r="Q5">
        <v>173.4169</v>
      </c>
    </row>
    <row r="6" spans="1:17">
      <c r="B6">
        <f>B3/(B1^2)</f>
        <v>1.0807661576704545E-5</v>
      </c>
      <c r="C6">
        <f t="shared" ref="C6:E6" si="1">C3/(C1^2)</f>
        <v>8.2534659992564821E-7</v>
      </c>
      <c r="D6">
        <f t="shared" si="1"/>
        <v>9.6098638393662191E-8</v>
      </c>
      <c r="E6">
        <f t="shared" si="1"/>
        <v>1.8167969090909093E-8</v>
      </c>
      <c r="G6">
        <v>4</v>
      </c>
      <c r="H6">
        <v>3.0000000000000001E-3</v>
      </c>
      <c r="I6">
        <v>1.6000000000000001E-3</v>
      </c>
      <c r="J6">
        <v>1.9E-3</v>
      </c>
      <c r="K6">
        <v>6.7000000000000002E-3</v>
      </c>
      <c r="M6">
        <v>4</v>
      </c>
      <c r="N6">
        <v>0.74039999999999995</v>
      </c>
      <c r="O6">
        <v>3.4649000000000001</v>
      </c>
      <c r="P6">
        <v>26.569700000000001</v>
      </c>
      <c r="Q6">
        <v>168.56319999999999</v>
      </c>
    </row>
    <row r="7" spans="1:17">
      <c r="G7">
        <v>5</v>
      </c>
      <c r="H7">
        <v>3.0000000000000001E-3</v>
      </c>
      <c r="I7">
        <v>1.6999999999999999E-3</v>
      </c>
      <c r="J7">
        <v>1.9E-3</v>
      </c>
      <c r="K7">
        <v>6.6E-3</v>
      </c>
      <c r="M7">
        <v>5</v>
      </c>
      <c r="N7">
        <v>0.71060000000000001</v>
      </c>
      <c r="O7">
        <v>3.4763000000000002</v>
      </c>
      <c r="P7">
        <v>26.098800000000001</v>
      </c>
      <c r="Q7">
        <v>178.8629</v>
      </c>
    </row>
    <row r="8" spans="1:17">
      <c r="G8">
        <v>6</v>
      </c>
      <c r="H8">
        <v>3.0000000000000001E-3</v>
      </c>
      <c r="I8">
        <v>1.8E-3</v>
      </c>
      <c r="J8">
        <v>1.8E-3</v>
      </c>
      <c r="K8">
        <v>3.7900000000000003E-2</v>
      </c>
      <c r="M8">
        <v>6</v>
      </c>
      <c r="N8">
        <v>0.70250000000000001</v>
      </c>
      <c r="O8">
        <v>3.4773000000000001</v>
      </c>
      <c r="P8">
        <v>25.587599999999998</v>
      </c>
      <c r="Q8">
        <v>169.80529999999999</v>
      </c>
    </row>
    <row r="9" spans="1:17">
      <c r="G9">
        <v>7</v>
      </c>
      <c r="H9">
        <v>3.3999999999999998E-3</v>
      </c>
      <c r="I9">
        <v>1.6000000000000001E-3</v>
      </c>
      <c r="J9">
        <v>2E-3</v>
      </c>
      <c r="K9">
        <v>7.0000000000000001E-3</v>
      </c>
      <c r="M9">
        <v>7</v>
      </c>
      <c r="N9">
        <v>0.70679999999999998</v>
      </c>
      <c r="O9">
        <v>3.4967000000000001</v>
      </c>
      <c r="P9">
        <v>25.7043</v>
      </c>
      <c r="Q9">
        <v>178.42349999999999</v>
      </c>
    </row>
    <row r="10" spans="1:17">
      <c r="G10">
        <v>8</v>
      </c>
      <c r="H10">
        <v>3.2000000000000002E-3</v>
      </c>
      <c r="I10">
        <v>1.6000000000000001E-3</v>
      </c>
      <c r="J10">
        <v>2.8999999999999998E-3</v>
      </c>
      <c r="K10">
        <v>6.4000000000000003E-3</v>
      </c>
      <c r="M10">
        <v>8</v>
      </c>
      <c r="N10">
        <v>0.70340000000000003</v>
      </c>
      <c r="O10">
        <v>3.4388999999999998</v>
      </c>
      <c r="P10">
        <v>25.269600000000001</v>
      </c>
      <c r="Q10">
        <v>166.68199999999999</v>
      </c>
    </row>
    <row r="11" spans="1:17">
      <c r="G11">
        <v>9</v>
      </c>
      <c r="H11">
        <v>3.0999999999999999E-3</v>
      </c>
      <c r="I11">
        <v>1.9E-3</v>
      </c>
      <c r="J11">
        <v>1.9E-3</v>
      </c>
      <c r="K11">
        <v>6.0000000000000001E-3</v>
      </c>
      <c r="M11">
        <v>9</v>
      </c>
      <c r="N11">
        <v>0.70040000000000002</v>
      </c>
      <c r="O11">
        <v>3.4321000000000002</v>
      </c>
      <c r="P11">
        <v>25.590900000000001</v>
      </c>
      <c r="Q11">
        <v>193.26240000000001</v>
      </c>
    </row>
    <row r="12" spans="1:17">
      <c r="G12">
        <v>10</v>
      </c>
      <c r="H12">
        <v>3.2000000000000002E-3</v>
      </c>
      <c r="I12">
        <v>1.6000000000000001E-3</v>
      </c>
      <c r="J12">
        <v>1.5E-3</v>
      </c>
      <c r="K12">
        <v>6.0000000000000001E-3</v>
      </c>
      <c r="M12">
        <v>10</v>
      </c>
      <c r="N12">
        <v>0.69989999999999997</v>
      </c>
      <c r="O12">
        <v>3.4613</v>
      </c>
      <c r="P12">
        <v>25.679200000000002</v>
      </c>
      <c r="Q12">
        <v>169.6148</v>
      </c>
    </row>
  </sheetData>
  <pageMargins left="0.7" right="0.7" top="0.75" bottom="0.75" header="0.3" footer="0.3"/>
  <ignoredErrors>
    <ignoredError sqref="B2:E3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Gardiner</dc:creator>
  <cp:lastModifiedBy>Austin Gardiner</cp:lastModifiedBy>
  <dcterms:created xsi:type="dcterms:W3CDTF">2025-09-15T07:00:33Z</dcterms:created>
  <dcterms:modified xsi:type="dcterms:W3CDTF">2025-09-15T17:59:03Z</dcterms:modified>
</cp:coreProperties>
</file>